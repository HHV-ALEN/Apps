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juribe\Documents\Rios Desarrollo 2024\2025\"/>
    </mc:Choice>
  </mc:AlternateContent>
  <xr:revisionPtr revIDLastSave="1" documentId="13_ncr:1_{65B83147-649B-4299-ABB5-1FCDEB578837}" xr6:coauthVersionLast="47" xr6:coauthVersionMax="47" xr10:uidLastSave="{9F26517E-946C-4802-8011-F6B9887747CC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</sheets>
  <definedNames>
    <definedName name="_xlnm.Print_Area" localSheetId="0">Hoja1!$A$1:$D$26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B25" i="1" l="1"/>
  <c r="Z25" i="1"/>
  <c r="X25" i="1"/>
  <c r="V25" i="1"/>
  <c r="T25" i="1"/>
  <c r="R25" i="1"/>
  <c r="P25" i="1"/>
  <c r="N25" i="1"/>
  <c r="L25" i="1"/>
  <c r="J25" i="1"/>
  <c r="H25" i="1"/>
  <c r="AB21" i="1"/>
  <c r="Z21" i="1"/>
  <c r="X21" i="1"/>
  <c r="V21" i="1"/>
  <c r="T21" i="1"/>
  <c r="R21" i="1"/>
  <c r="P21" i="1"/>
  <c r="N21" i="1"/>
  <c r="L21" i="1"/>
  <c r="J21" i="1"/>
  <c r="H21" i="1"/>
  <c r="AB18" i="1"/>
  <c r="Z18" i="1"/>
  <c r="X18" i="1"/>
  <c r="V18" i="1"/>
  <c r="T18" i="1"/>
  <c r="R18" i="1"/>
  <c r="P18" i="1"/>
  <c r="N18" i="1"/>
  <c r="L18" i="1"/>
  <c r="J18" i="1"/>
  <c r="H18" i="1"/>
  <c r="AB16" i="1"/>
  <c r="Z16" i="1"/>
  <c r="X16" i="1"/>
  <c r="V16" i="1"/>
  <c r="T16" i="1"/>
  <c r="R16" i="1"/>
  <c r="P16" i="1"/>
  <c r="N16" i="1"/>
  <c r="L16" i="1"/>
  <c r="J16" i="1"/>
  <c r="H16" i="1"/>
  <c r="AB11" i="1"/>
  <c r="Z11" i="1"/>
  <c r="X11" i="1"/>
  <c r="V11" i="1"/>
  <c r="T11" i="1"/>
  <c r="R11" i="1"/>
  <c r="P11" i="1"/>
  <c r="N11" i="1"/>
  <c r="L11" i="1"/>
  <c r="J11" i="1"/>
  <c r="H11" i="1"/>
  <c r="F25" i="1"/>
  <c r="F21" i="1"/>
  <c r="F18" i="1"/>
  <c r="F16" i="1"/>
  <c r="F11" i="1"/>
  <c r="AD21" i="1" l="1"/>
  <c r="AD18" i="1"/>
  <c r="AD16" i="1"/>
  <c r="D27" i="1"/>
  <c r="AD11" i="1"/>
</calcChain>
</file>

<file path=xl/sharedStrings.xml><?xml version="1.0" encoding="utf-8"?>
<sst xmlns="http://schemas.openxmlformats.org/spreadsheetml/2006/main" count="86" uniqueCount="53">
  <si>
    <t>EVALUACIÓN DE DESEMPEÑO</t>
  </si>
  <si>
    <t>Nombre:</t>
  </si>
  <si>
    <t>Brenda Ibarra</t>
  </si>
  <si>
    <t>Periodo:</t>
  </si>
  <si>
    <t>Puesto:</t>
  </si>
  <si>
    <t>Coordinadora de RH</t>
  </si>
  <si>
    <t>Reporta a:</t>
  </si>
  <si>
    <t>Gerente de Desarrollo O.</t>
  </si>
  <si>
    <t xml:space="preserve">Responsabilidad </t>
  </si>
  <si>
    <t>Indicador</t>
  </si>
  <si>
    <t>Objetivo</t>
  </si>
  <si>
    <t xml:space="preserve">Ponderación 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</si>
  <si>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</si>
  <si>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</si>
  <si>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</si>
  <si>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</si>
  <si>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</si>
  <si>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</si>
  <si>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</si>
  <si>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</si>
  <si>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</si>
  <si>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</si>
  <si>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</si>
  <si>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</si>
  <si>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TOTAL ANUAL</t>
  </si>
  <si>
    <t>Real</t>
  </si>
  <si>
    <t>% Cump.</t>
  </si>
  <si>
    <t>Eval.</t>
  </si>
  <si>
    <t>CONTRATACIÓN</t>
  </si>
  <si>
    <t>Mensual</t>
  </si>
  <si>
    <t>Cumplir con los tiempos de contratación de cada posición</t>
  </si>
  <si>
    <t>Cumplir con el tiempo minimo de nuevas contrataciones (6 meses)</t>
  </si>
  <si>
    <t>Seguimiento a plan de inducción de nuevo personal</t>
  </si>
  <si>
    <t>Mejorar perfiles de contratación</t>
  </si>
  <si>
    <t>Documentación al 100% de personal de nuevo ingreso</t>
  </si>
  <si>
    <t>CAPACITACIÓN</t>
  </si>
  <si>
    <t>Diciembre/Enero</t>
  </si>
  <si>
    <t>Evaluación 360</t>
  </si>
  <si>
    <t>Dar seguimiento a capacitaciones internas por área</t>
  </si>
  <si>
    <t>ABIENTE LABORAL</t>
  </si>
  <si>
    <t>Plan de mejora de ambiente laboral</t>
  </si>
  <si>
    <t>Cumplir con proyecto de team building</t>
  </si>
  <si>
    <t>Organizar y participar en eventos del área</t>
  </si>
  <si>
    <t>PROYECTOS</t>
  </si>
  <si>
    <t>Diciembre</t>
  </si>
  <si>
    <t>Presentación de nuevo formato de inducción</t>
  </si>
  <si>
    <t>Plan maestro de recursos humanos</t>
  </si>
  <si>
    <t>Anual</t>
  </si>
  <si>
    <t>Cumplir con rotación menor del 15%</t>
  </si>
  <si>
    <t>Trimestral</t>
  </si>
  <si>
    <t>Mejoras de beneficios para el personal</t>
  </si>
  <si>
    <t>DESARROLLO HUMANO</t>
  </si>
  <si>
    <t>Curso de gestión de talento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</si>
</sst>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9" fontId="2" fillId="0" borderId="0" xfId="0" applyNumberFormat="1" applyFont="1" applyAlignment="1">
      <alignment horizontal="center" vertical="center"/>
    </xf>
    <xf numFmtId="9" fontId="2" fillId="0" borderId="0" xfId="1" applyFont="1"/>
    <xf numFmtId="0" fontId="2" fillId="0" borderId="20" xfId="0" applyFont="1" applyBorder="1" applyAlignment="1">
      <alignment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wrapText="1"/>
    </xf>
    <xf numFmtId="0" fontId="0" fillId="0" borderId="30" xfId="0" applyBorder="1"/>
    <xf numFmtId="9" fontId="2" fillId="0" borderId="22" xfId="0" applyNumberFormat="1" applyFont="1" applyBorder="1" applyAlignment="1">
      <alignment horizontal="center" vertical="center"/>
    </xf>
    <xf numFmtId="9" fontId="2" fillId="0" borderId="31" xfId="0" applyNumberFormat="1" applyFont="1" applyBorder="1" applyAlignment="1">
      <alignment horizontal="center"/>
    </xf>
    <xf numFmtId="17" fontId="2" fillId="0" borderId="19" xfId="0" applyNumberFormat="1" applyFont="1" applyBorder="1" applyAlignment="1">
      <alignment horizontal="center" wrapText="1"/>
    </xf>
    <xf numFmtId="9" fontId="2" fillId="0" borderId="19" xfId="0" applyNumberFormat="1" applyFont="1" applyBorder="1" applyAlignment="1">
      <alignment horizontal="center" wrapText="1"/>
    </xf>
    <xf numFmtId="17" fontId="2" fillId="0" borderId="29" xfId="0" applyNumberFormat="1" applyFont="1" applyBorder="1" applyAlignment="1">
      <alignment horizontal="center"/>
    </xf>
    <xf numFmtId="9" fontId="2" fillId="0" borderId="22" xfId="0" applyNumberFormat="1" applyFont="1" applyBorder="1" applyAlignment="1">
      <alignment horizontal="center"/>
    </xf>
    <xf numFmtId="9" fontId="2" fillId="0" borderId="19" xfId="0" applyNumberFormat="1" applyFont="1" applyBorder="1" applyAlignment="1">
      <alignment horizontal="center"/>
    </xf>
    <xf numFmtId="17" fontId="2" fillId="0" borderId="22" xfId="0" applyNumberFormat="1" applyFont="1" applyBorder="1" applyAlignment="1">
      <alignment horizontal="center"/>
    </xf>
    <xf numFmtId="17" fontId="2" fillId="0" borderId="23" xfId="0" applyNumberFormat="1" applyFont="1" applyBorder="1" applyAlignment="1">
      <alignment horizontal="center"/>
    </xf>
    <xf numFmtId="0" fontId="3" fillId="0" borderId="15" xfId="0" applyFont="1" applyBorder="1"/>
    <xf numFmtId="9" fontId="2" fillId="0" borderId="17" xfId="0" applyNumberFormat="1" applyFont="1" applyBorder="1" applyAlignment="1">
      <alignment horizontal="center"/>
    </xf>
    <xf numFmtId="9" fontId="2" fillId="0" borderId="29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wrapText="1"/>
    </xf>
    <xf numFmtId="0" fontId="2" fillId="0" borderId="23" xfId="0" applyFont="1" applyBorder="1"/>
    <xf numFmtId="0" fontId="2" fillId="0" borderId="34" xfId="0" applyFont="1" applyBorder="1"/>
    <xf numFmtId="0" fontId="2" fillId="0" borderId="17" xfId="0" applyFont="1" applyBorder="1"/>
    <xf numFmtId="17" fontId="2" fillId="0" borderId="0" xfId="0" applyNumberFormat="1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0" xfId="0" applyFont="1" applyBorder="1"/>
    <xf numFmtId="0" fontId="0" fillId="0" borderId="22" xfId="0" applyBorder="1"/>
    <xf numFmtId="0" fontId="5" fillId="0" borderId="20" xfId="0" applyFont="1" applyBorder="1" applyAlignment="1">
      <alignment wrapText="1"/>
    </xf>
    <xf numFmtId="9" fontId="2" fillId="0" borderId="9" xfId="0" applyNumberFormat="1" applyFont="1" applyBorder="1" applyAlignment="1">
      <alignment vertical="center"/>
    </xf>
    <xf numFmtId="9" fontId="2" fillId="0" borderId="27" xfId="1" applyFont="1" applyBorder="1" applyAlignment="1">
      <alignment vertical="center"/>
    </xf>
    <xf numFmtId="9" fontId="2" fillId="0" borderId="3" xfId="0" applyNumberFormat="1" applyFont="1" applyBorder="1" applyAlignment="1">
      <alignment vertical="center"/>
    </xf>
    <xf numFmtId="9" fontId="2" fillId="0" borderId="26" xfId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9" fontId="2" fillId="0" borderId="1" xfId="1" applyFont="1" applyBorder="1" applyAlignment="1">
      <alignment vertical="center"/>
    </xf>
    <xf numFmtId="9" fontId="2" fillId="0" borderId="24" xfId="1" applyFont="1" applyBorder="1" applyAlignment="1">
      <alignment vertical="center"/>
    </xf>
    <xf numFmtId="9" fontId="2" fillId="0" borderId="9" xfId="1" applyFont="1" applyBorder="1" applyAlignment="1">
      <alignment vertical="center"/>
    </xf>
    <xf numFmtId="9" fontId="2" fillId="0" borderId="22" xfId="1" applyFont="1" applyBorder="1" applyAlignment="1">
      <alignment vertical="center"/>
    </xf>
    <xf numFmtId="9" fontId="2" fillId="0" borderId="29" xfId="1" applyFont="1" applyBorder="1" applyAlignment="1">
      <alignment vertical="center"/>
    </xf>
    <xf numFmtId="9" fontId="2" fillId="0" borderId="10" xfId="0" applyNumberFormat="1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9" fontId="2" fillId="0" borderId="25" xfId="1" applyFont="1" applyBorder="1" applyAlignment="1">
      <alignment vertical="center"/>
    </xf>
    <xf numFmtId="9" fontId="2" fillId="0" borderId="10" xfId="1" applyFont="1" applyBorder="1" applyAlignment="1">
      <alignment vertical="center"/>
    </xf>
    <xf numFmtId="9" fontId="2" fillId="0" borderId="31" xfId="1" applyFont="1" applyBorder="1" applyAlignment="1">
      <alignment vertical="center"/>
    </xf>
    <xf numFmtId="9" fontId="2" fillId="0" borderId="36" xfId="0" applyNumberFormat="1" applyFont="1" applyBorder="1" applyAlignment="1">
      <alignment vertical="center"/>
    </xf>
    <xf numFmtId="0" fontId="0" fillId="0" borderId="14" xfId="0" applyBorder="1"/>
    <xf numFmtId="9" fontId="2" fillId="0" borderId="12" xfId="0" applyNumberFormat="1" applyFont="1" applyBorder="1" applyAlignment="1">
      <alignment horizontal="center" vertical="center"/>
    </xf>
    <xf numFmtId="9" fontId="2" fillId="0" borderId="35" xfId="0" applyNumberFormat="1" applyFont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/>
    </xf>
    <xf numFmtId="9" fontId="2" fillId="0" borderId="12" xfId="1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9" fontId="2" fillId="0" borderId="35" xfId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9" fontId="2" fillId="0" borderId="16" xfId="1" applyFont="1" applyBorder="1" applyAlignment="1">
      <alignment horizontal="center" vertical="center"/>
    </xf>
    <xf numFmtId="9" fontId="2" fillId="0" borderId="17" xfId="1" applyFont="1" applyBorder="1" applyAlignment="1">
      <alignment horizontal="center" vertical="center"/>
    </xf>
    <xf numFmtId="9" fontId="2" fillId="0" borderId="18" xfId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9" fontId="2" fillId="0" borderId="13" xfId="1" applyFont="1" applyBorder="1" applyAlignment="1">
      <alignment horizontal="center" vertical="center"/>
    </xf>
    <xf numFmtId="9" fontId="2" fillId="0" borderId="14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41868</xdr:rowOff>
    </xdr:from>
    <xdr:to>
      <xdr:col>2</xdr:col>
      <xdr:colOff>768</xdr:colOff>
      <xdr:row>4</xdr:row>
      <xdr:rowOff>65288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778E32-4B54-4E3A-995F-D4908C0B61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63" b="19760"/>
        <a:stretch/>
      </xdr:blipFill>
      <xdr:spPr>
        <a:xfrm>
          <a:off x="0" y="41868"/>
          <a:ext cx="3200400" cy="804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"/>
  <sheetViews>
    <sheetView showGridLines="0" topLeftCell="A9" workbookViewId="0">
      <selection activeCell="E11" sqref="E11"/>
    </sheetView>
  </sheetViews>
  <sheetFormatPr defaultColWidth="10.85546875" defaultRowHeight="14.25"/>
  <cols>
    <col min="1" max="1" width="26.7109375" style="1" customWidth="1"/>
    <col min="2" max="2" width="17.42578125" style="1" bestFit="1" customWidth="1"/>
    <col min="3" max="3" width="64.7109375" style="1" bestFit="1" customWidth="1"/>
    <col min="4" max="4" width="14.42578125" style="3" bestFit="1" customWidth="1"/>
    <col min="5" max="5" width="6.28515625" style="1" bestFit="1" customWidth="1"/>
    <col min="6" max="6" width="9.85546875" style="1" bestFit="1" customWidth="1"/>
    <col min="7" max="7" width="6.28515625" style="1" bestFit="1" customWidth="1"/>
    <col min="8" max="8" width="9.85546875" style="1" bestFit="1" customWidth="1"/>
    <col min="9" max="9" width="6.28515625" style="1" bestFit="1" customWidth="1"/>
    <col min="10" max="10" width="9.85546875" style="1" bestFit="1" customWidth="1"/>
    <col min="11" max="11" width="7.5703125" style="1" customWidth="1"/>
    <col min="12" max="12" width="9.85546875" style="1" bestFit="1" customWidth="1"/>
    <col min="13" max="13" width="6.28515625" style="1" bestFit="1" customWidth="1"/>
    <col min="14" max="14" width="9.85546875" style="1" bestFit="1" customWidth="1"/>
    <col min="15" max="15" width="6.28515625" style="1" bestFit="1" customWidth="1"/>
    <col min="16" max="16" width="9.85546875" style="1" bestFit="1" customWidth="1"/>
    <col min="17" max="17" width="6.28515625" style="1" bestFit="1" customWidth="1"/>
    <col min="18" max="18" width="9.85546875" style="1" bestFit="1" customWidth="1"/>
    <col min="19" max="19" width="6.28515625" style="1" bestFit="1" customWidth="1"/>
    <col min="20" max="20" width="9.85546875" style="1" bestFit="1" customWidth="1"/>
    <col min="21" max="21" width="6.28515625" style="1" bestFit="1" customWidth="1"/>
    <col min="22" max="22" width="9.85546875" style="1" bestFit="1" customWidth="1"/>
    <col min="23" max="23" width="5.5703125" style="1" bestFit="1" customWidth="1"/>
    <col min="24" max="24" width="9.85546875" style="1" bestFit="1" customWidth="1"/>
    <col min="25" max="25" width="5.5703125" style="1" bestFit="1" customWidth="1"/>
    <col min="26" max="26" width="9.85546875" style="1" bestFit="1" customWidth="1"/>
    <col min="27" max="27" width="5.5703125" style="1" bestFit="1" customWidth="1"/>
    <col min="28" max="28" width="9.85546875" style="1" bestFit="1" customWidth="1"/>
    <col min="29" max="29" width="10.42578125" style="1" customWidth="1"/>
    <col min="30" max="30" width="11.85546875" style="1" customWidth="1"/>
    <col min="31" max="16384" width="10.85546875" style="1"/>
  </cols>
  <sheetData>
    <row r="1" spans="1:30" ht="15" customHeight="1">
      <c r="C1" s="63" t="s">
        <v>0</v>
      </c>
      <c r="D1" s="63"/>
      <c r="E1" s="63"/>
      <c r="F1" s="63"/>
    </row>
    <row r="2" spans="1:30" ht="15" customHeight="1">
      <c r="C2" s="63"/>
      <c r="D2" s="63"/>
      <c r="E2" s="63"/>
      <c r="F2" s="63"/>
    </row>
    <row r="3" spans="1:30" ht="15" customHeight="1">
      <c r="C3" s="63"/>
      <c r="D3" s="63"/>
      <c r="E3" s="63"/>
      <c r="F3" s="63"/>
    </row>
    <row r="4" spans="1:30" ht="15" customHeight="1">
      <c r="C4" s="63"/>
      <c r="D4" s="63"/>
      <c r="E4" s="63"/>
      <c r="F4" s="63"/>
    </row>
    <row r="6" spans="1:30">
      <c r="A6" s="2" t="s">
        <v>1</v>
      </c>
      <c r="B6" s="64" t="s">
        <v>2</v>
      </c>
      <c r="C6" s="64"/>
      <c r="E6" s="66" t="s">
        <v>3</v>
      </c>
      <c r="F6" s="66"/>
      <c r="G6" s="64">
        <v>2025</v>
      </c>
      <c r="H6" s="64"/>
      <c r="I6" s="64"/>
      <c r="J6" s="64"/>
    </row>
    <row r="7" spans="1:30">
      <c r="A7" s="2" t="s">
        <v>4</v>
      </c>
      <c r="B7" s="65" t="s">
        <v>5</v>
      </c>
      <c r="C7" s="65"/>
      <c r="E7" s="66" t="s">
        <v>6</v>
      </c>
      <c r="F7" s="66"/>
      <c r="G7" s="65" t="s">
        <v>7</v>
      </c>
      <c r="H7" s="65"/>
      <c r="I7" s="65"/>
      <c r="J7" s="65"/>
    </row>
    <row r="8" spans="1:30" ht="15" thickBot="1"/>
    <row r="9" spans="1:30" s="2" customFormat="1" ht="15.75" thickBot="1">
      <c r="A9" s="67" t="s">
        <v>8</v>
      </c>
      <c r="B9" s="73" t="s">
        <v>9</v>
      </c>
      <c r="C9" s="73" t="s">
        <v>10</v>
      </c>
      <c r="D9" s="75" t="s">
        <v>11</v>
      </c>
      <c r="E9" s="79" t="s">
        <v>12</v>
      </c>
      <c r="F9" s="80"/>
      <c r="G9" s="79" t="s">
        <v>13</v>
      </c>
      <c r="H9" s="80"/>
      <c r="I9" s="79" t="s">
        <v>14</v>
      </c>
      <c r="J9" s="80"/>
      <c r="K9" s="79" t="s">
        <v>15</v>
      </c>
      <c r="L9" s="80"/>
      <c r="M9" s="79" t="s">
        <v>16</v>
      </c>
      <c r="N9" s="80"/>
      <c r="O9" s="79" t="s">
        <v>17</v>
      </c>
      <c r="P9" s="80"/>
      <c r="Q9" s="79" t="s">
        <v>18</v>
      </c>
      <c r="R9" s="80"/>
      <c r="S9" s="79" t="s">
        <v>19</v>
      </c>
      <c r="T9" s="80"/>
      <c r="U9" s="79" t="s">
        <v>20</v>
      </c>
      <c r="V9" s="80"/>
      <c r="W9" s="79" t="s">
        <v>21</v>
      </c>
      <c r="X9" s="80"/>
      <c r="Y9" s="79" t="s">
        <v>22</v>
      </c>
      <c r="Z9" s="80"/>
      <c r="AA9" s="79" t="s">
        <v>23</v>
      </c>
      <c r="AB9" s="80"/>
      <c r="AC9" s="81" t="s">
        <v>24</v>
      </c>
      <c r="AD9" s="82"/>
    </row>
    <row r="10" spans="1:30" ht="15.75" thickBot="1">
      <c r="A10" s="68"/>
      <c r="B10" s="74"/>
      <c r="C10" s="74"/>
      <c r="D10" s="76"/>
      <c r="E10" s="4" t="s">
        <v>25</v>
      </c>
      <c r="F10" s="5" t="s">
        <v>26</v>
      </c>
      <c r="G10" s="4" t="s">
        <v>25</v>
      </c>
      <c r="H10" s="5" t="s">
        <v>26</v>
      </c>
      <c r="I10" s="4" t="s">
        <v>25</v>
      </c>
      <c r="J10" s="5" t="s">
        <v>26</v>
      </c>
      <c r="K10" s="4" t="s">
        <v>25</v>
      </c>
      <c r="L10" s="5" t="s">
        <v>26</v>
      </c>
      <c r="M10" s="4" t="s">
        <v>25</v>
      </c>
      <c r="N10" s="5" t="s">
        <v>26</v>
      </c>
      <c r="O10" s="4" t="s">
        <v>25</v>
      </c>
      <c r="P10" s="5" t="s">
        <v>26</v>
      </c>
      <c r="Q10" s="4" t="s">
        <v>25</v>
      </c>
      <c r="R10" s="5" t="s">
        <v>26</v>
      </c>
      <c r="S10" s="4" t="s">
        <v>25</v>
      </c>
      <c r="T10" s="5" t="s">
        <v>26</v>
      </c>
      <c r="U10" s="4" t="s">
        <v>25</v>
      </c>
      <c r="V10" s="5" t="s">
        <v>26</v>
      </c>
      <c r="W10" s="4" t="s">
        <v>25</v>
      </c>
      <c r="X10" s="5" t="s">
        <v>26</v>
      </c>
      <c r="Y10" s="4" t="s">
        <v>25</v>
      </c>
      <c r="Z10" s="5" t="s">
        <v>26</v>
      </c>
      <c r="AA10" s="4" t="s">
        <v>25</v>
      </c>
      <c r="AB10" s="5" t="s">
        <v>26</v>
      </c>
      <c r="AC10" s="21" t="s">
        <v>27</v>
      </c>
      <c r="AD10" s="21" t="s">
        <v>26</v>
      </c>
    </row>
    <row r="11" spans="1:30" ht="18" customHeight="1">
      <c r="A11" s="61" t="s">
        <v>28</v>
      </c>
      <c r="B11" s="14" t="s">
        <v>29</v>
      </c>
      <c r="C11" s="9" t="s">
        <v>30</v>
      </c>
      <c r="D11" s="58">
        <v>0.3</v>
      </c>
      <c r="E11" s="33">
        <v>0.6</v>
      </c>
      <c r="F11" s="52">
        <f>((E11+E12+E13+E14+E15)/5)*D11</f>
        <v>0.24</v>
      </c>
      <c r="G11" s="33">
        <v>0.6</v>
      </c>
      <c r="H11" s="52">
        <f>((G11+G12+G13+G14+G15)/5)*D11</f>
        <v>0.26400000000000001</v>
      </c>
      <c r="I11" s="33">
        <v>0.5</v>
      </c>
      <c r="J11" s="52">
        <f>((I11+I12+I13+I14+I15)/5)*D11</f>
        <v>0.27</v>
      </c>
      <c r="K11" s="33">
        <v>0.5</v>
      </c>
      <c r="L11" s="52">
        <f>((K11+K12+K13+K14+K15)/5)*D11</f>
        <v>0.27</v>
      </c>
      <c r="M11" s="33">
        <v>0.5</v>
      </c>
      <c r="N11" s="52">
        <f>((M11+M12+M13+M14+M15)/5)*D11</f>
        <v>0.25800000000000001</v>
      </c>
      <c r="O11" s="33">
        <v>0.7</v>
      </c>
      <c r="P11" s="52">
        <f>((O11+O12+O13+O14+O15)/5)*D11</f>
        <v>0.27599999999999997</v>
      </c>
      <c r="Q11" s="33">
        <v>0.5</v>
      </c>
      <c r="R11" s="52">
        <f>((Q11+Q12+Q13+Q14+Q15)/5)*D11</f>
        <v>0.27</v>
      </c>
      <c r="S11" s="33">
        <v>0.5</v>
      </c>
      <c r="T11" s="52">
        <f>((S11+S12+S13+S14+S15)/5)*D11</f>
        <v>0.27</v>
      </c>
      <c r="U11" s="33"/>
      <c r="V11" s="52">
        <f>((U11+U12+U13+U14+U15)/5)*D11</f>
        <v>0</v>
      </c>
      <c r="W11" s="33"/>
      <c r="X11" s="52">
        <f>((W11+W12+W13+W14+W15)/5)*D11</f>
        <v>0</v>
      </c>
      <c r="Y11" s="33"/>
      <c r="Z11" s="52">
        <f>((Y11+Y12+Y13+Y14+Y15)/5)*D11</f>
        <v>0</v>
      </c>
      <c r="AA11" s="33"/>
      <c r="AB11" s="52">
        <f>((AA11+AA12+AA13+AA14+AA15)/5)*D11</f>
        <v>0</v>
      </c>
      <c r="AC11" s="34"/>
      <c r="AD11" s="58">
        <f>((AC11+AC12+AC15)/3)*D11</f>
        <v>0</v>
      </c>
    </row>
    <row r="12" spans="1:30" ht="18" customHeight="1">
      <c r="A12" s="69"/>
      <c r="B12" s="15" t="s">
        <v>29</v>
      </c>
      <c r="C12" s="9" t="s">
        <v>31</v>
      </c>
      <c r="D12" s="59"/>
      <c r="E12" s="33">
        <v>0.6</v>
      </c>
      <c r="F12" s="52"/>
      <c r="G12" s="33">
        <v>1</v>
      </c>
      <c r="H12" s="52"/>
      <c r="I12" s="33">
        <v>1</v>
      </c>
      <c r="J12" s="52"/>
      <c r="K12" s="33">
        <v>1</v>
      </c>
      <c r="L12" s="52"/>
      <c r="M12" s="33">
        <v>0.8</v>
      </c>
      <c r="N12" s="52"/>
      <c r="O12" s="33">
        <v>0.9</v>
      </c>
      <c r="P12" s="52"/>
      <c r="Q12" s="33">
        <v>1</v>
      </c>
      <c r="R12" s="52"/>
      <c r="S12" s="33">
        <v>1</v>
      </c>
      <c r="T12" s="52"/>
      <c r="U12" s="33"/>
      <c r="V12" s="52"/>
      <c r="W12" s="33"/>
      <c r="X12" s="52"/>
      <c r="Y12" s="33"/>
      <c r="Z12" s="52"/>
      <c r="AA12" s="33"/>
      <c r="AB12" s="52"/>
      <c r="AC12" s="34"/>
      <c r="AD12" s="59"/>
    </row>
    <row r="13" spans="1:30" ht="18" customHeight="1">
      <c r="A13" s="69"/>
      <c r="B13" s="16" t="s">
        <v>29</v>
      </c>
      <c r="C13" s="10" t="s">
        <v>32</v>
      </c>
      <c r="D13" s="59"/>
      <c r="E13" s="33">
        <v>1</v>
      </c>
      <c r="F13" s="52"/>
      <c r="G13" s="33">
        <v>1</v>
      </c>
      <c r="H13" s="52"/>
      <c r="I13" s="33">
        <v>1</v>
      </c>
      <c r="J13" s="52"/>
      <c r="K13" s="33">
        <v>1</v>
      </c>
      <c r="L13" s="52"/>
      <c r="M13" s="33">
        <v>1</v>
      </c>
      <c r="N13" s="52"/>
      <c r="O13" s="33">
        <v>1</v>
      </c>
      <c r="P13" s="52"/>
      <c r="Q13" s="33">
        <v>1</v>
      </c>
      <c r="R13" s="52"/>
      <c r="S13" s="33">
        <v>1</v>
      </c>
      <c r="T13" s="52"/>
      <c r="U13" s="33"/>
      <c r="V13" s="52"/>
      <c r="W13" s="33"/>
      <c r="X13" s="52"/>
      <c r="Y13" s="33"/>
      <c r="Z13" s="52"/>
      <c r="AA13" s="33"/>
      <c r="AB13" s="52"/>
      <c r="AC13" s="34"/>
      <c r="AD13" s="59"/>
    </row>
    <row r="14" spans="1:30" ht="18" customHeight="1" thickBot="1">
      <c r="A14" s="69"/>
      <c r="B14" s="28" t="s">
        <v>29</v>
      </c>
      <c r="C14" s="24" t="s">
        <v>33</v>
      </c>
      <c r="D14" s="59"/>
      <c r="E14" s="33">
        <v>0.8</v>
      </c>
      <c r="F14" s="52"/>
      <c r="G14" s="33">
        <v>0.8</v>
      </c>
      <c r="H14" s="52"/>
      <c r="I14" s="33">
        <v>1</v>
      </c>
      <c r="J14" s="52"/>
      <c r="K14" s="33">
        <v>1</v>
      </c>
      <c r="L14" s="52"/>
      <c r="M14" s="33">
        <v>1</v>
      </c>
      <c r="N14" s="52"/>
      <c r="O14" s="33">
        <v>1</v>
      </c>
      <c r="P14" s="52"/>
      <c r="Q14" s="33">
        <v>1</v>
      </c>
      <c r="R14" s="52"/>
      <c r="S14" s="33">
        <v>1</v>
      </c>
      <c r="T14" s="52"/>
      <c r="U14" s="33"/>
      <c r="V14" s="52"/>
      <c r="W14" s="33"/>
      <c r="X14" s="52"/>
      <c r="Y14" s="33"/>
      <c r="Z14" s="52"/>
      <c r="AA14" s="33"/>
      <c r="AB14" s="52"/>
      <c r="AC14" s="34"/>
      <c r="AD14" s="59"/>
    </row>
    <row r="15" spans="1:30" ht="15.75" customHeight="1" thickBot="1">
      <c r="A15" s="70"/>
      <c r="B15" s="29" t="s">
        <v>29</v>
      </c>
      <c r="C15" s="25" t="s">
        <v>34</v>
      </c>
      <c r="D15" s="60"/>
      <c r="E15" s="35">
        <v>1</v>
      </c>
      <c r="F15" s="51"/>
      <c r="G15" s="35">
        <v>1</v>
      </c>
      <c r="H15" s="51"/>
      <c r="I15" s="35">
        <v>1</v>
      </c>
      <c r="J15" s="51"/>
      <c r="K15" s="35">
        <v>1</v>
      </c>
      <c r="L15" s="51"/>
      <c r="M15" s="35">
        <v>1</v>
      </c>
      <c r="N15" s="51"/>
      <c r="O15" s="35">
        <v>1</v>
      </c>
      <c r="P15" s="51"/>
      <c r="Q15" s="35">
        <v>1</v>
      </c>
      <c r="R15" s="51"/>
      <c r="S15" s="35">
        <v>1</v>
      </c>
      <c r="T15" s="51"/>
      <c r="U15" s="35"/>
      <c r="V15" s="51"/>
      <c r="W15" s="35"/>
      <c r="X15" s="51"/>
      <c r="Y15" s="35"/>
      <c r="Z15" s="51"/>
      <c r="AA15" s="35"/>
      <c r="AB15" s="51"/>
      <c r="AC15" s="36"/>
      <c r="AD15" s="60"/>
    </row>
    <row r="16" spans="1:30">
      <c r="A16" s="71" t="s">
        <v>35</v>
      </c>
      <c r="B16" s="12" t="s">
        <v>36</v>
      </c>
      <c r="C16" s="8" t="s">
        <v>37</v>
      </c>
      <c r="D16" s="77">
        <v>0.3</v>
      </c>
      <c r="E16" s="37">
        <v>0</v>
      </c>
      <c r="F16" s="50">
        <f>((E17+E16)/2)*D16</f>
        <v>0.15</v>
      </c>
      <c r="G16" s="37">
        <v>0.5</v>
      </c>
      <c r="H16" s="50">
        <f>((G17+G16)/2)*D16</f>
        <v>0.22499999999999998</v>
      </c>
      <c r="I16" s="37">
        <v>1</v>
      </c>
      <c r="J16" s="50">
        <f>((I17+I16)/2)*D16</f>
        <v>0.3</v>
      </c>
      <c r="K16" s="37">
        <v>1</v>
      </c>
      <c r="L16" s="50">
        <f>((K17+K16)/2)*D16</f>
        <v>0.3</v>
      </c>
      <c r="M16" s="37">
        <v>1</v>
      </c>
      <c r="N16" s="50">
        <f>((M17+M16)/2)*D16</f>
        <v>0.3</v>
      </c>
      <c r="O16" s="37">
        <v>1</v>
      </c>
      <c r="P16" s="50">
        <f>((O17+O16)/2)*D16</f>
        <v>0.3</v>
      </c>
      <c r="Q16" s="37">
        <v>1</v>
      </c>
      <c r="R16" s="53">
        <f>((Q17+Q16)/2)*D16</f>
        <v>0.3</v>
      </c>
      <c r="S16" s="37">
        <v>1</v>
      </c>
      <c r="T16" s="50">
        <f>((S17+S16)/2)*D16</f>
        <v>0.3</v>
      </c>
      <c r="U16" s="37"/>
      <c r="V16" s="53">
        <f>((U17+U16)/2)*D16</f>
        <v>0</v>
      </c>
      <c r="W16" s="37"/>
      <c r="X16" s="50">
        <f>((W17+W16)/2)*D16</f>
        <v>0</v>
      </c>
      <c r="Y16" s="37"/>
      <c r="Z16" s="50">
        <f>((Y17+Y16)/2)*D16</f>
        <v>0</v>
      </c>
      <c r="AA16" s="37"/>
      <c r="AB16" s="50">
        <f>((AA17+AA16)/2)*D16</f>
        <v>0</v>
      </c>
      <c r="AC16" s="39"/>
      <c r="AD16" s="58">
        <f>((AC16+AC17)/2)*D16</f>
        <v>0</v>
      </c>
    </row>
    <row r="17" spans="1:30" ht="17.100000000000001" customHeight="1" thickBot="1">
      <c r="A17" s="72"/>
      <c r="B17" s="13" t="s">
        <v>29</v>
      </c>
      <c r="C17" s="30" t="s">
        <v>38</v>
      </c>
      <c r="D17" s="78"/>
      <c r="E17" s="35">
        <v>1</v>
      </c>
      <c r="F17" s="51"/>
      <c r="G17" s="35">
        <v>1</v>
      </c>
      <c r="H17" s="51"/>
      <c r="I17" s="35">
        <v>1</v>
      </c>
      <c r="J17" s="51"/>
      <c r="K17" s="35">
        <v>1</v>
      </c>
      <c r="L17" s="51"/>
      <c r="M17" s="35">
        <v>1</v>
      </c>
      <c r="N17" s="51"/>
      <c r="O17" s="35">
        <v>1</v>
      </c>
      <c r="P17" s="51"/>
      <c r="Q17" s="35">
        <v>1</v>
      </c>
      <c r="R17" s="55"/>
      <c r="S17" s="35">
        <v>1</v>
      </c>
      <c r="T17" s="51"/>
      <c r="U17" s="35"/>
      <c r="V17" s="55"/>
      <c r="W17" s="35"/>
      <c r="X17" s="51"/>
      <c r="Y17" s="35"/>
      <c r="Z17" s="51"/>
      <c r="AA17" s="35"/>
      <c r="AB17" s="51"/>
      <c r="AC17" s="36"/>
      <c r="AD17" s="59"/>
    </row>
    <row r="18" spans="1:30" ht="15">
      <c r="A18" s="71" t="s">
        <v>39</v>
      </c>
      <c r="B18" s="17" t="s">
        <v>29</v>
      </c>
      <c r="C18" s="31" t="s">
        <v>40</v>
      </c>
      <c r="D18" s="77">
        <v>0.15</v>
      </c>
      <c r="E18" s="37">
        <v>1</v>
      </c>
      <c r="F18" s="50">
        <f>((E20+E18)/2)*D18</f>
        <v>0.15</v>
      </c>
      <c r="G18" s="37">
        <v>1</v>
      </c>
      <c r="H18" s="50">
        <f>((G20+G18)/2)*D18</f>
        <v>0.15</v>
      </c>
      <c r="I18" s="37">
        <v>1</v>
      </c>
      <c r="J18" s="50">
        <f>((I20+I18)/2)*D18</f>
        <v>0.15</v>
      </c>
      <c r="K18" s="37">
        <v>1</v>
      </c>
      <c r="L18" s="50">
        <f>((K20+K18)/2)*D18</f>
        <v>0.15</v>
      </c>
      <c r="M18" s="37">
        <v>1</v>
      </c>
      <c r="N18" s="50">
        <f>((M20+M18)/2)*D18</f>
        <v>0.15</v>
      </c>
      <c r="O18" s="37">
        <v>1</v>
      </c>
      <c r="P18" s="50">
        <f>((O20+O18)/2)*D18</f>
        <v>0.15</v>
      </c>
      <c r="Q18" s="37">
        <v>1</v>
      </c>
      <c r="R18" s="50">
        <f>((Q20+Q18)/2)*D18</f>
        <v>0.15</v>
      </c>
      <c r="S18" s="37">
        <v>1</v>
      </c>
      <c r="T18" s="53">
        <f>((S20+S18)/2)*D18</f>
        <v>0.15</v>
      </c>
      <c r="U18" s="37"/>
      <c r="V18" s="53">
        <f>((U20+U18)/2)*D18</f>
        <v>0</v>
      </c>
      <c r="W18" s="37"/>
      <c r="X18" s="50">
        <f>((W20+W18)/2)*D18</f>
        <v>0</v>
      </c>
      <c r="Y18" s="37"/>
      <c r="Z18" s="50">
        <f>((Y20+Y18)/2)*D18</f>
        <v>0</v>
      </c>
      <c r="AA18" s="37"/>
      <c r="AB18" s="50">
        <f>((AA20+AA18)/2)*D18</f>
        <v>0</v>
      </c>
      <c r="AC18" s="39"/>
      <c r="AD18" s="58">
        <f>((AC18+AC20/2))*D18</f>
        <v>0</v>
      </c>
    </row>
    <row r="19" spans="1:30" ht="15">
      <c r="A19" s="72"/>
      <c r="B19" s="18" t="s">
        <v>29</v>
      </c>
      <c r="C19" s="49" t="s">
        <v>41</v>
      </c>
      <c r="D19" s="78"/>
      <c r="E19" s="33">
        <v>0</v>
      </c>
      <c r="F19" s="52"/>
      <c r="G19" s="33">
        <v>1</v>
      </c>
      <c r="H19" s="52"/>
      <c r="I19" s="33">
        <v>1</v>
      </c>
      <c r="J19" s="52"/>
      <c r="K19" s="33">
        <v>1</v>
      </c>
      <c r="L19" s="52"/>
      <c r="M19" s="33">
        <v>1</v>
      </c>
      <c r="N19" s="52"/>
      <c r="O19" s="33">
        <v>1</v>
      </c>
      <c r="P19" s="52"/>
      <c r="Q19" s="33">
        <v>1</v>
      </c>
      <c r="R19" s="52"/>
      <c r="S19" s="33">
        <v>1</v>
      </c>
      <c r="T19" s="54"/>
      <c r="U19" s="33"/>
      <c r="V19" s="54"/>
      <c r="W19" s="33"/>
      <c r="X19" s="52"/>
      <c r="Y19" s="33"/>
      <c r="Z19" s="52"/>
      <c r="AA19" s="33"/>
      <c r="AB19" s="52"/>
      <c r="AC19" s="34"/>
      <c r="AD19" s="59"/>
    </row>
    <row r="20" spans="1:30" ht="15.75" thickBot="1">
      <c r="A20" s="72"/>
      <c r="B20" s="18" t="s">
        <v>29</v>
      </c>
      <c r="C20" s="11" t="s">
        <v>42</v>
      </c>
      <c r="D20" s="78"/>
      <c r="E20" s="33">
        <v>1</v>
      </c>
      <c r="F20" s="51"/>
      <c r="G20" s="33">
        <v>1</v>
      </c>
      <c r="H20" s="51"/>
      <c r="I20" s="33">
        <v>1</v>
      </c>
      <c r="J20" s="51"/>
      <c r="K20" s="33">
        <v>1</v>
      </c>
      <c r="L20" s="51"/>
      <c r="M20" s="33">
        <v>1</v>
      </c>
      <c r="N20" s="51"/>
      <c r="O20" s="33">
        <v>1</v>
      </c>
      <c r="P20" s="51"/>
      <c r="Q20" s="33">
        <v>1</v>
      </c>
      <c r="R20" s="51"/>
      <c r="S20" s="33">
        <v>1</v>
      </c>
      <c r="T20" s="55"/>
      <c r="U20" s="33"/>
      <c r="V20" s="55"/>
      <c r="W20" s="33"/>
      <c r="X20" s="51"/>
      <c r="Y20" s="33"/>
      <c r="Z20" s="51"/>
      <c r="AA20" s="33"/>
      <c r="AB20" s="51"/>
      <c r="AC20" s="34"/>
      <c r="AD20" s="59"/>
    </row>
    <row r="21" spans="1:30" ht="14.1" customHeight="1" thickBot="1">
      <c r="A21" s="56" t="s">
        <v>43</v>
      </c>
      <c r="B21" s="22" t="s">
        <v>44</v>
      </c>
      <c r="C21" s="32" t="s">
        <v>45</v>
      </c>
      <c r="D21" s="58">
        <v>0.15</v>
      </c>
      <c r="E21" s="48">
        <v>0.5</v>
      </c>
      <c r="F21" s="50">
        <f>((E21+E22+E23+E24)/4)*D21</f>
        <v>0.13125000000000001</v>
      </c>
      <c r="G21" s="37">
        <v>0.5</v>
      </c>
      <c r="H21" s="50">
        <f>((G21+G22+G23+G24)/4)*D21</f>
        <v>0.13125000000000001</v>
      </c>
      <c r="I21" s="37">
        <v>1</v>
      </c>
      <c r="J21" s="50">
        <f>((I21+I22+I23+I24)/4)*D21</f>
        <v>0.15</v>
      </c>
      <c r="K21" s="37">
        <v>1</v>
      </c>
      <c r="L21" s="50">
        <f>((K21+K22+K23+K24)/4)*D21</f>
        <v>0.15</v>
      </c>
      <c r="M21" s="37">
        <v>1</v>
      </c>
      <c r="N21" s="50">
        <f>((M21+M22+M23+M24)/4)*D21</f>
        <v>0.15</v>
      </c>
      <c r="O21" s="37">
        <v>1</v>
      </c>
      <c r="P21" s="50">
        <f>((O21+O22+O23+O24)/4)*D21</f>
        <v>0.15</v>
      </c>
      <c r="Q21" s="37">
        <v>1</v>
      </c>
      <c r="R21" s="50">
        <f>((Q21+Q22+Q23+Q24)/4)*D21</f>
        <v>0.15</v>
      </c>
      <c r="S21" s="38">
        <v>1</v>
      </c>
      <c r="T21" s="53">
        <f>((S21+S22+S23+S24)/4)*D21</f>
        <v>0.15</v>
      </c>
      <c r="U21" s="37"/>
      <c r="V21" s="50">
        <f>((U21+U22+U23+U24)/4)*D21</f>
        <v>0</v>
      </c>
      <c r="W21" s="37"/>
      <c r="X21" s="50">
        <f>((W21+W22+W23+W24)/4)*D21</f>
        <v>0</v>
      </c>
      <c r="Y21" s="37"/>
      <c r="Z21" s="50">
        <f>((Y21+Y22+Y23+Y24)/4)*D21</f>
        <v>0</v>
      </c>
      <c r="AA21" s="37"/>
      <c r="AB21" s="50">
        <f>((AA21+AA22+AA23+AA24)/4)*D21</f>
        <v>0</v>
      </c>
      <c r="AC21" s="41"/>
      <c r="AD21" s="58">
        <f>((AC21+AC22+AC23+AC24)/4)*D21</f>
        <v>0</v>
      </c>
    </row>
    <row r="22" spans="1:30" ht="15" customHeight="1">
      <c r="A22" s="57"/>
      <c r="B22" s="23" t="s">
        <v>29</v>
      </c>
      <c r="C22" s="24" t="s">
        <v>46</v>
      </c>
      <c r="D22" s="59"/>
      <c r="E22" s="33">
        <v>1</v>
      </c>
      <c r="F22" s="52"/>
      <c r="G22" s="33">
        <v>1</v>
      </c>
      <c r="H22" s="52"/>
      <c r="I22" s="33">
        <v>1</v>
      </c>
      <c r="J22" s="52"/>
      <c r="K22" s="33">
        <v>1</v>
      </c>
      <c r="L22" s="52"/>
      <c r="M22" s="33">
        <v>1</v>
      </c>
      <c r="N22" s="52"/>
      <c r="O22" s="33">
        <v>1</v>
      </c>
      <c r="P22" s="52"/>
      <c r="Q22" s="33">
        <v>1</v>
      </c>
      <c r="R22" s="52"/>
      <c r="S22" s="40">
        <v>1</v>
      </c>
      <c r="T22" s="54"/>
      <c r="U22" s="33"/>
      <c r="V22" s="52"/>
      <c r="W22" s="33"/>
      <c r="X22" s="52"/>
      <c r="Y22" s="33"/>
      <c r="Z22" s="52"/>
      <c r="AA22" s="33"/>
      <c r="AB22" s="52"/>
      <c r="AC22" s="42"/>
      <c r="AD22" s="59"/>
    </row>
    <row r="23" spans="1:30" ht="18" customHeight="1">
      <c r="A23" s="57"/>
      <c r="B23" s="13" t="s">
        <v>47</v>
      </c>
      <c r="C23" s="27" t="s">
        <v>48</v>
      </c>
      <c r="D23" s="59"/>
      <c r="E23" s="33">
        <v>1</v>
      </c>
      <c r="F23" s="52"/>
      <c r="G23" s="33">
        <v>1</v>
      </c>
      <c r="H23" s="52"/>
      <c r="I23" s="33">
        <v>1</v>
      </c>
      <c r="J23" s="52"/>
      <c r="K23" s="33">
        <v>1</v>
      </c>
      <c r="L23" s="52"/>
      <c r="M23" s="33">
        <v>1</v>
      </c>
      <c r="N23" s="52"/>
      <c r="O23" s="33">
        <v>1</v>
      </c>
      <c r="P23" s="52"/>
      <c r="Q23" s="33">
        <v>1</v>
      </c>
      <c r="R23" s="52"/>
      <c r="S23" s="40">
        <v>1</v>
      </c>
      <c r="T23" s="54"/>
      <c r="U23" s="33"/>
      <c r="V23" s="52"/>
      <c r="W23" s="33"/>
      <c r="X23" s="52"/>
      <c r="Y23" s="33"/>
      <c r="Z23" s="52"/>
      <c r="AA23" s="33"/>
      <c r="AB23" s="52"/>
      <c r="AC23" s="42"/>
      <c r="AD23" s="59"/>
    </row>
    <row r="24" spans="1:30" ht="15" thickBot="1">
      <c r="A24" s="57"/>
      <c r="B24" s="13" t="s">
        <v>49</v>
      </c>
      <c r="C24" s="25" t="s">
        <v>50</v>
      </c>
      <c r="D24" s="60"/>
      <c r="E24" s="43">
        <v>1</v>
      </c>
      <c r="F24" s="52"/>
      <c r="G24" s="43">
        <v>1</v>
      </c>
      <c r="H24" s="52"/>
      <c r="I24" s="43">
        <v>1</v>
      </c>
      <c r="J24" s="52"/>
      <c r="K24" s="43">
        <v>1</v>
      </c>
      <c r="L24" s="52"/>
      <c r="M24" s="43">
        <v>1</v>
      </c>
      <c r="N24" s="52"/>
      <c r="O24" s="43">
        <v>1</v>
      </c>
      <c r="P24" s="52"/>
      <c r="Q24" s="43">
        <v>1</v>
      </c>
      <c r="R24" s="52"/>
      <c r="S24" s="46">
        <v>1</v>
      </c>
      <c r="T24" s="54"/>
      <c r="U24" s="43"/>
      <c r="V24" s="51"/>
      <c r="W24" s="43"/>
      <c r="X24" s="52"/>
      <c r="Y24" s="43"/>
      <c r="Z24" s="52"/>
      <c r="AA24" s="43"/>
      <c r="AB24" s="51"/>
      <c r="AC24" s="47"/>
      <c r="AD24" s="60"/>
    </row>
    <row r="25" spans="1:30" ht="15" customHeight="1">
      <c r="A25" s="61" t="s">
        <v>51</v>
      </c>
      <c r="B25" s="19" t="s">
        <v>47</v>
      </c>
      <c r="C25" s="1" t="s">
        <v>52</v>
      </c>
      <c r="D25" s="59">
        <v>0.1</v>
      </c>
      <c r="E25" s="37">
        <v>0</v>
      </c>
      <c r="F25" s="50">
        <f>((E25)/1)*D25</f>
        <v>0</v>
      </c>
      <c r="G25" s="37">
        <v>0</v>
      </c>
      <c r="H25" s="50">
        <f>((G25)/1)*D25</f>
        <v>0</v>
      </c>
      <c r="I25" s="37">
        <v>0</v>
      </c>
      <c r="J25" s="50">
        <f>((I25)/1)*D25</f>
        <v>0</v>
      </c>
      <c r="K25" s="37">
        <v>0</v>
      </c>
      <c r="L25" s="50">
        <f>((K25)/1)*D25</f>
        <v>0</v>
      </c>
      <c r="M25" s="37">
        <v>0</v>
      </c>
      <c r="N25" s="50">
        <f>((M25)/1)*D25</f>
        <v>0</v>
      </c>
      <c r="O25" s="37">
        <v>0</v>
      </c>
      <c r="P25" s="50">
        <f>((O25)/1)*D25</f>
        <v>0</v>
      </c>
      <c r="Q25" s="37">
        <v>0</v>
      </c>
      <c r="R25" s="50">
        <f>((Q25)/1)*D25</f>
        <v>0</v>
      </c>
      <c r="S25" s="37">
        <v>0</v>
      </c>
      <c r="T25" s="50">
        <f>((S25)/1)*D25</f>
        <v>0</v>
      </c>
      <c r="U25" s="37"/>
      <c r="V25" s="52">
        <f>((U25)/1)*D25</f>
        <v>0</v>
      </c>
      <c r="W25" s="37"/>
      <c r="X25" s="50">
        <f>((W25)/1)*D25</f>
        <v>0</v>
      </c>
      <c r="Y25" s="37"/>
      <c r="Z25" s="50">
        <f>((Y25)/1)*D25</f>
        <v>0</v>
      </c>
      <c r="AA25" s="37"/>
      <c r="AB25" s="52">
        <f>((AA25)/1)*D25</f>
        <v>0</v>
      </c>
      <c r="AC25" s="41"/>
      <c r="AD25" s="59"/>
    </row>
    <row r="26" spans="1:30" ht="19.149999999999999" customHeight="1" thickBot="1">
      <c r="A26" s="62"/>
      <c r="B26" s="20"/>
      <c r="C26" s="26"/>
      <c r="D26" s="60"/>
      <c r="E26" s="44"/>
      <c r="F26" s="51"/>
      <c r="G26" s="44"/>
      <c r="H26" s="51"/>
      <c r="I26" s="44"/>
      <c r="J26" s="51"/>
      <c r="K26" s="44"/>
      <c r="L26" s="51"/>
      <c r="M26" s="44"/>
      <c r="N26" s="51"/>
      <c r="O26" s="44"/>
      <c r="P26" s="51"/>
      <c r="Q26" s="44"/>
      <c r="R26" s="51"/>
      <c r="S26" s="44"/>
      <c r="T26" s="51"/>
      <c r="U26" s="44"/>
      <c r="V26" s="51"/>
      <c r="W26" s="44"/>
      <c r="X26" s="51"/>
      <c r="Y26" s="44"/>
      <c r="Z26" s="51"/>
      <c r="AA26" s="44"/>
      <c r="AB26" s="51"/>
      <c r="AC26" s="45"/>
      <c r="AD26" s="60"/>
    </row>
    <row r="27" spans="1:30">
      <c r="D27" s="6">
        <f>D11+D16+D18+D21+D25</f>
        <v>1</v>
      </c>
      <c r="AD27" s="7"/>
    </row>
    <row r="30" spans="1:30">
      <c r="D30" s="1"/>
    </row>
    <row r="31" spans="1:30">
      <c r="D31" s="1"/>
    </row>
    <row r="32" spans="1:30">
      <c r="D32" s="1"/>
    </row>
    <row r="33" spans="4:4">
      <c r="D33" s="1"/>
    </row>
    <row r="36" spans="4:4">
      <c r="D36" s="1"/>
    </row>
    <row r="37" spans="4:4">
      <c r="D37" s="1"/>
    </row>
  </sheetData>
  <mergeCells count="99">
    <mergeCell ref="E9:F9"/>
    <mergeCell ref="G9:H9"/>
    <mergeCell ref="I9:J9"/>
    <mergeCell ref="AD11:AD15"/>
    <mergeCell ref="K9:L9"/>
    <mergeCell ref="F11:F15"/>
    <mergeCell ref="L11:L15"/>
    <mergeCell ref="R11:R15"/>
    <mergeCell ref="T11:T15"/>
    <mergeCell ref="V11:V15"/>
    <mergeCell ref="X11:X15"/>
    <mergeCell ref="AD25:AD26"/>
    <mergeCell ref="W9:X9"/>
    <mergeCell ref="AC9:AD9"/>
    <mergeCell ref="M9:N9"/>
    <mergeCell ref="S9:T9"/>
    <mergeCell ref="AA9:AB9"/>
    <mergeCell ref="Y9:Z9"/>
    <mergeCell ref="U9:V9"/>
    <mergeCell ref="Q9:R9"/>
    <mergeCell ref="O9:P9"/>
    <mergeCell ref="AD18:AD20"/>
    <mergeCell ref="AD16:AD17"/>
    <mergeCell ref="N11:N15"/>
    <mergeCell ref="P11:P15"/>
    <mergeCell ref="P16:P17"/>
    <mergeCell ref="P18:P20"/>
    <mergeCell ref="D11:D15"/>
    <mergeCell ref="C9:C10"/>
    <mergeCell ref="B9:B10"/>
    <mergeCell ref="D9:D10"/>
    <mergeCell ref="D18:D20"/>
    <mergeCell ref="D16:D17"/>
    <mergeCell ref="A21:A24"/>
    <mergeCell ref="D21:D24"/>
    <mergeCell ref="AD21:AD24"/>
    <mergeCell ref="A25:A26"/>
    <mergeCell ref="C1:F4"/>
    <mergeCell ref="G6:J6"/>
    <mergeCell ref="G7:J7"/>
    <mergeCell ref="B6:C6"/>
    <mergeCell ref="B7:C7"/>
    <mergeCell ref="E7:F7"/>
    <mergeCell ref="E6:F6"/>
    <mergeCell ref="A9:A10"/>
    <mergeCell ref="A11:A15"/>
    <mergeCell ref="A16:A17"/>
    <mergeCell ref="A18:A20"/>
    <mergeCell ref="D25:D26"/>
    <mergeCell ref="F16:F17"/>
    <mergeCell ref="F18:F20"/>
    <mergeCell ref="F21:F24"/>
    <mergeCell ref="F25:F26"/>
    <mergeCell ref="H11:H15"/>
    <mergeCell ref="H16:H17"/>
    <mergeCell ref="H18:H20"/>
    <mergeCell ref="H21:H24"/>
    <mergeCell ref="H25:H26"/>
    <mergeCell ref="J25:J26"/>
    <mergeCell ref="J21:J24"/>
    <mergeCell ref="J18:J20"/>
    <mergeCell ref="J16:J17"/>
    <mergeCell ref="J11:J15"/>
    <mergeCell ref="L16:L17"/>
    <mergeCell ref="L18:L20"/>
    <mergeCell ref="L21:L24"/>
    <mergeCell ref="L25:L26"/>
    <mergeCell ref="N25:N26"/>
    <mergeCell ref="N21:N24"/>
    <mergeCell ref="N18:N20"/>
    <mergeCell ref="N16:N17"/>
    <mergeCell ref="R16:R17"/>
    <mergeCell ref="V16:V17"/>
    <mergeCell ref="P25:P26"/>
    <mergeCell ref="R25:R26"/>
    <mergeCell ref="R21:R24"/>
    <mergeCell ref="R18:R20"/>
    <mergeCell ref="P21:P24"/>
    <mergeCell ref="T25:T26"/>
    <mergeCell ref="V25:V26"/>
    <mergeCell ref="V21:V24"/>
    <mergeCell ref="V18:V20"/>
    <mergeCell ref="X16:X17"/>
    <mergeCell ref="T21:T24"/>
    <mergeCell ref="X18:X20"/>
    <mergeCell ref="X21:X24"/>
    <mergeCell ref="X25:X26"/>
    <mergeCell ref="T16:T17"/>
    <mergeCell ref="T18:T20"/>
    <mergeCell ref="Z25:Z26"/>
    <mergeCell ref="Z21:Z24"/>
    <mergeCell ref="Z18:Z20"/>
    <mergeCell ref="AB21:AB24"/>
    <mergeCell ref="AB25:AB26"/>
    <mergeCell ref="Z16:Z17"/>
    <mergeCell ref="Z11:Z15"/>
    <mergeCell ref="AB11:AB15"/>
    <mergeCell ref="AB16:AB17"/>
    <mergeCell ref="AB18:AB20"/>
  </mergeCells>
  <phoneticPr fontId="6" type="noConversion"/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B828-FD50-40D5-8716-1B9D83C3DD7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</dc:creator>
  <cp:keywords/>
  <dc:description/>
  <cp:lastModifiedBy>Heriberto  Hurtado</cp:lastModifiedBy>
  <cp:revision/>
  <dcterms:created xsi:type="dcterms:W3CDTF">2016-12-08T17:30:31Z</dcterms:created>
  <dcterms:modified xsi:type="dcterms:W3CDTF">2025-08-19T21:03:53Z</dcterms:modified>
  <cp:category/>
  <cp:contentStatus/>
</cp:coreProperties>
</file>